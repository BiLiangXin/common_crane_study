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i\Desktop\写作论文\"/>
    </mc:Choice>
  </mc:AlternateContent>
  <xr:revisionPtr revIDLastSave="0" documentId="13_ncr:1_{1F45BDF5-7DF1-4004-BFB9-75491FA0F43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origin_gps_poi_PairwiseDisso2_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X3" i="1"/>
  <c r="X4" i="1"/>
  <c r="X5" i="1"/>
  <c r="X6" i="1"/>
  <c r="X7" i="1"/>
  <c r="X8" i="1"/>
  <c r="X10" i="1"/>
  <c r="X12" i="1"/>
  <c r="X14" i="1"/>
  <c r="X16" i="1"/>
  <c r="X18" i="1"/>
  <c r="X19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" i="1"/>
  <c r="V15" i="1"/>
  <c r="V16" i="1"/>
  <c r="V17" i="1"/>
  <c r="V18" i="1"/>
  <c r="S3" i="1"/>
  <c r="V3" i="1" s="1"/>
  <c r="S4" i="1"/>
  <c r="V4" i="1" s="1"/>
  <c r="S5" i="1"/>
  <c r="V5" i="1" s="1"/>
  <c r="S6" i="1"/>
  <c r="V6" i="1" s="1"/>
  <c r="S7" i="1"/>
  <c r="V7" i="1" s="1"/>
  <c r="S8" i="1"/>
  <c r="V8" i="1" s="1"/>
  <c r="S9" i="1"/>
  <c r="V9" i="1" s="1"/>
  <c r="S10" i="1"/>
  <c r="V10" i="1" s="1"/>
  <c r="S11" i="1"/>
  <c r="V11" i="1" s="1"/>
  <c r="S12" i="1"/>
  <c r="V12" i="1" s="1"/>
  <c r="S13" i="1"/>
  <c r="V13" i="1" s="1"/>
  <c r="S14" i="1"/>
  <c r="V14" i="1" s="1"/>
  <c r="S15" i="1"/>
  <c r="S16" i="1"/>
  <c r="S17" i="1"/>
  <c r="S18" i="1"/>
  <c r="S19" i="1"/>
  <c r="V19" i="1" s="1"/>
  <c r="S2" i="1"/>
  <c r="V2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" i="1"/>
</calcChain>
</file>

<file path=xl/sharedStrings.xml><?xml version="1.0" encoding="utf-8"?>
<sst xmlns="http://schemas.openxmlformats.org/spreadsheetml/2006/main" count="47" uniqueCount="34">
  <si>
    <t>OBJECTID</t>
  </si>
  <si>
    <t>event_type</t>
  </si>
  <si>
    <t>MIN</t>
  </si>
  <si>
    <t>MAX</t>
  </si>
  <si>
    <t>RANGE</t>
  </si>
  <si>
    <t>MEAN</t>
  </si>
  <si>
    <t>STD</t>
  </si>
  <si>
    <t>SUM</t>
  </si>
  <si>
    <t>MEDIAN</t>
  </si>
  <si>
    <t>PCT75</t>
  </si>
  <si>
    <t>PCT90</t>
  </si>
  <si>
    <t>PCT95</t>
  </si>
  <si>
    <t>AREA</t>
  </si>
  <si>
    <t>繁殖地</t>
  </si>
  <si>
    <t>关键停留地</t>
  </si>
  <si>
    <t>临时停留地</t>
  </si>
  <si>
    <t>越冬地</t>
  </si>
  <si>
    <t>0_0.5</t>
  </si>
  <si>
    <t>0.5_1</t>
  </si>
  <si>
    <t>1_5</t>
  </si>
  <si>
    <t>5_10</t>
  </si>
  <si>
    <t>10+</t>
  </si>
  <si>
    <t>HNLPI</t>
    <phoneticPr fontId="2" type="noConversion"/>
  </si>
  <si>
    <t>PCR</t>
    <phoneticPr fontId="2" type="noConversion"/>
  </si>
  <si>
    <t>HER</t>
    <phoneticPr fontId="2" type="noConversion"/>
  </si>
  <si>
    <t>STD_HNLPI</t>
    <phoneticPr fontId="2" type="noConversion"/>
  </si>
  <si>
    <t>临时停留地</t>
    <phoneticPr fontId="2" type="noConversion"/>
  </si>
  <si>
    <t>P1</t>
    <phoneticPr fontId="2" type="noConversion"/>
  </si>
  <si>
    <t>P2</t>
    <phoneticPr fontId="2" type="noConversion"/>
  </si>
  <si>
    <t>P3</t>
    <phoneticPr fontId="2" type="noConversion"/>
  </si>
  <si>
    <t>P4</t>
    <phoneticPr fontId="2" type="noConversion"/>
  </si>
  <si>
    <t>NTL_AREA</t>
    <phoneticPr fontId="2" type="noConversion"/>
  </si>
  <si>
    <t>HER_LIT</t>
    <phoneticPr fontId="2" type="noConversion"/>
  </si>
  <si>
    <t>ELS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</si>
</sst>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>
      <alignment horizontal="left"/>
    </xf>
    <xf numFmtId="0" fontId="1" fillId="2" borderId="0" xfId="1" applyBorder="1">
      <alignment horizontal="left"/>
    </xf>
    <xf numFmtId="0" fontId="3" fillId="2" borderId="0" xfId="1" applyFont="1" applyBorder="1">
      <alignment horizontal="left"/>
    </xf>
  </cellXfs>
  <cellStyles count="2">
    <cellStyle name="STYLE0" xfId="1" xr:uid="{00000000-0005-0000-0000-000001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"/>
  <sheetViews>
    <sheetView tabSelected="1" workbookViewId="0">
      <selection activeCell="AC2" sqref="AC2:AC19"/>
    </sheetView>
  </sheetViews>
  <sheetFormatPr defaultRowHeight="14" x14ac:dyDescent="0.25"/>
  <cols>
    <col min="1" max="1" width="16.1796875" customWidth="1"/>
    <col min="2" max="2" width="18.453125" customWidth="1"/>
    <col min="13" max="13" width="32.1796875" customWidth="1"/>
    <col min="14" max="14" width="16.453125" customWidth="1"/>
    <col min="15" max="15" width="19.1796875" customWidth="1"/>
    <col min="16" max="16" width="30.26953125" customWidth="1"/>
    <col min="18" max="18" width="15.36328125" customWidth="1"/>
  </cols>
  <sheetData>
    <row r="1" spans="1:29" ht="15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3" t="s">
        <v>31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32</v>
      </c>
      <c r="AC1" s="3" t="s">
        <v>33</v>
      </c>
    </row>
    <row r="2" spans="1:29" x14ac:dyDescent="0.25">
      <c r="A2">
        <v>1</v>
      </c>
      <c r="B2" t="s">
        <v>13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44499694.746607758</v>
      </c>
      <c r="N2">
        <v>44499694.746607713</v>
      </c>
      <c r="O2">
        <v>0</v>
      </c>
      <c r="P2">
        <v>0</v>
      </c>
      <c r="Q2">
        <v>0</v>
      </c>
      <c r="R2">
        <v>0</v>
      </c>
      <c r="S2">
        <f>(0*N2+1*O2+2*P2+3*Q2+4*R2)/M2</f>
        <v>0</v>
      </c>
      <c r="T2">
        <f>(O2+P2+Q2+R2)/M2</f>
        <v>0</v>
      </c>
      <c r="U2">
        <f>(Q2+R2)/M2</f>
        <v>0</v>
      </c>
      <c r="V2">
        <f>S2/4</f>
        <v>0</v>
      </c>
      <c r="W2">
        <f>O2+P2+Q2+R2</f>
        <v>0</v>
      </c>
      <c r="X2">
        <v>0</v>
      </c>
      <c r="Y2">
        <f>IF(W2=0,0,P2/W2)</f>
        <v>0</v>
      </c>
      <c r="Z2">
        <f>IF(W2=0,0,Q2/W2)</f>
        <v>0</v>
      </c>
      <c r="AA2">
        <f>IF(W2=0,0,R2/W2)</f>
        <v>0</v>
      </c>
      <c r="AB2">
        <f>IF(W2=0,0,(Q2+R2)/W2)</f>
        <v>0</v>
      </c>
      <c r="AC2">
        <f>IF(W2=0,0,(1*O2+2*P2+3*Q2+4*R2)/(4*W2))</f>
        <v>0</v>
      </c>
    </row>
    <row r="3" spans="1:29" x14ac:dyDescent="0.25">
      <c r="A3">
        <v>2</v>
      </c>
      <c r="B3" t="s">
        <v>14</v>
      </c>
      <c r="C3">
        <v>0.53464674949645996</v>
      </c>
      <c r="D3">
        <v>1.886538624763489</v>
      </c>
      <c r="E3">
        <v>1.351891875267029</v>
      </c>
      <c r="F3">
        <v>0.71872833754511822</v>
      </c>
      <c r="G3">
        <v>0.1883618671560604</v>
      </c>
      <c r="H3">
        <v>173.2135293483735</v>
      </c>
      <c r="I3">
        <v>0.65116208791732788</v>
      </c>
      <c r="J3">
        <v>0.74489367008209229</v>
      </c>
      <c r="K3">
        <v>0.96754467487335205</v>
      </c>
      <c r="L3">
        <v>1.0610266923904419</v>
      </c>
      <c r="M3">
        <v>59912996.837611564</v>
      </c>
      <c r="N3">
        <v>0</v>
      </c>
      <c r="O3">
        <v>54443760.611771449</v>
      </c>
      <c r="P3">
        <v>5469236.2258400545</v>
      </c>
      <c r="Q3">
        <v>0</v>
      </c>
      <c r="R3">
        <v>0</v>
      </c>
      <c r="S3">
        <f t="shared" ref="S3:S19" si="0">(0*N3+1*O3+2*P3+3*Q3+4*R3)/M3</f>
        <v>1.0912863070539409</v>
      </c>
      <c r="T3">
        <f t="shared" ref="T3:T19" si="1">(O3+P3+Q3+R3)/M3</f>
        <v>0.999999999999999</v>
      </c>
      <c r="U3">
        <f t="shared" ref="U3:U19" si="2">(Q3+R3)/M3</f>
        <v>0</v>
      </c>
      <c r="V3">
        <f t="shared" ref="V3:V19" si="3">S3/4</f>
        <v>0.27282157676348523</v>
      </c>
      <c r="W3">
        <f t="shared" ref="W3:W19" si="4">O3+P3+Q3+R3</f>
        <v>59912996.837611504</v>
      </c>
      <c r="X3">
        <f t="shared" ref="X3:X19" si="5">O3/W3</f>
        <v>0.90871369294605808</v>
      </c>
      <c r="Y3">
        <f t="shared" ref="Y3:Y19" si="6">IF(W3=0,0,P3/W3)</f>
        <v>9.1286307053941917E-2</v>
      </c>
      <c r="Z3">
        <f t="shared" ref="Z3:Z19" si="7">IF(W3=0,0,Q3/W3)</f>
        <v>0</v>
      </c>
      <c r="AA3">
        <f t="shared" ref="AA3:AA19" si="8">IF(W3=0,0,R3/W3)</f>
        <v>0</v>
      </c>
      <c r="AB3">
        <f t="shared" ref="AB3:AB19" si="9">IF(W3=0,0,(Q3+R3)/W3)</f>
        <v>0</v>
      </c>
      <c r="AC3">
        <f t="shared" ref="AC3:AC19" si="10">IF(W3=0,0,(1*O3+2*P3+3*Q3+4*R3)/(4*W3))</f>
        <v>0.27282157676348545</v>
      </c>
    </row>
    <row r="4" spans="1:29" x14ac:dyDescent="0.25">
      <c r="A4">
        <v>3</v>
      </c>
      <c r="B4" t="s">
        <v>14</v>
      </c>
      <c r="C4">
        <v>0</v>
      </c>
      <c r="D4">
        <v>2.4703927040100102</v>
      </c>
      <c r="E4">
        <v>2.4703927040100102</v>
      </c>
      <c r="F4">
        <v>1.6461228671139218E-2</v>
      </c>
      <c r="G4">
        <v>0.14250793025819741</v>
      </c>
      <c r="H4">
        <v>12.01669692993163</v>
      </c>
      <c r="I4">
        <v>0</v>
      </c>
      <c r="J4">
        <v>0</v>
      </c>
      <c r="K4">
        <v>0</v>
      </c>
      <c r="L4">
        <v>0</v>
      </c>
      <c r="M4">
        <v>181479202.0392383</v>
      </c>
      <c r="N4">
        <v>178247380.63305989</v>
      </c>
      <c r="O4">
        <v>2486016.466290934</v>
      </c>
      <c r="P4">
        <v>745804.93988728011</v>
      </c>
      <c r="Q4">
        <v>0</v>
      </c>
      <c r="R4">
        <v>0</v>
      </c>
      <c r="S4">
        <f t="shared" si="0"/>
        <v>2.1917808219178065E-2</v>
      </c>
      <c r="T4">
        <f t="shared" si="1"/>
        <v>1.7808219178082181E-2</v>
      </c>
      <c r="U4">
        <f t="shared" si="2"/>
        <v>0</v>
      </c>
      <c r="V4">
        <f t="shared" si="3"/>
        <v>5.4794520547945163E-3</v>
      </c>
      <c r="W4">
        <f t="shared" si="4"/>
        <v>3231821.4061782141</v>
      </c>
      <c r="X4">
        <f t="shared" si="5"/>
        <v>0.76923076923076927</v>
      </c>
      <c r="Y4">
        <f t="shared" si="6"/>
        <v>0.23076923076923075</v>
      </c>
      <c r="Z4">
        <f t="shared" si="7"/>
        <v>0</v>
      </c>
      <c r="AA4">
        <f t="shared" si="8"/>
        <v>0</v>
      </c>
      <c r="AB4">
        <f t="shared" si="9"/>
        <v>0</v>
      </c>
      <c r="AC4">
        <f t="shared" si="10"/>
        <v>0.30769230769230771</v>
      </c>
    </row>
    <row r="5" spans="1:29" x14ac:dyDescent="0.25">
      <c r="A5">
        <v>4</v>
      </c>
      <c r="B5" t="s">
        <v>14</v>
      </c>
      <c r="C5">
        <v>0.85381501913070679</v>
      </c>
      <c r="D5">
        <v>12.34786796569824</v>
      </c>
      <c r="E5">
        <v>11.494052946567541</v>
      </c>
      <c r="F5">
        <v>2.5704967879737679</v>
      </c>
      <c r="G5">
        <v>1.744678470716355</v>
      </c>
      <c r="H5">
        <v>958.79530191421554</v>
      </c>
      <c r="I5">
        <v>1.955775141716003</v>
      </c>
      <c r="J5">
        <v>2.9491362571716309</v>
      </c>
      <c r="K5">
        <v>4.7270806312561033</v>
      </c>
      <c r="L5">
        <v>5.9370091438293384</v>
      </c>
      <c r="M5">
        <v>92728414.192651927</v>
      </c>
      <c r="N5">
        <v>0</v>
      </c>
      <c r="O5">
        <v>4723431.2859527748</v>
      </c>
      <c r="P5">
        <v>80049730.214568079</v>
      </c>
      <c r="Q5">
        <v>7458049.398872802</v>
      </c>
      <c r="R5">
        <v>497203.29325818678</v>
      </c>
      <c r="S5">
        <f t="shared" si="0"/>
        <v>2.0402144772117947</v>
      </c>
      <c r="T5">
        <f t="shared" si="1"/>
        <v>0.99999999999999922</v>
      </c>
      <c r="U5">
        <f t="shared" si="2"/>
        <v>8.5790884718498578E-2</v>
      </c>
      <c r="V5">
        <f t="shared" si="3"/>
        <v>0.51005361930294868</v>
      </c>
      <c r="W5">
        <f t="shared" si="4"/>
        <v>92728414.192651853</v>
      </c>
      <c r="X5">
        <f t="shared" si="5"/>
        <v>5.0938337801608571E-2</v>
      </c>
      <c r="Y5">
        <f t="shared" si="6"/>
        <v>0.86327077747989267</v>
      </c>
      <c r="Z5">
        <f t="shared" si="7"/>
        <v>8.0428954423592477E-2</v>
      </c>
      <c r="AA5">
        <f t="shared" si="8"/>
        <v>5.3619302949061655E-3</v>
      </c>
      <c r="AB5">
        <f t="shared" si="9"/>
        <v>8.5790884718498647E-2</v>
      </c>
      <c r="AC5">
        <f t="shared" si="10"/>
        <v>0.51005361930294901</v>
      </c>
    </row>
    <row r="6" spans="1:29" x14ac:dyDescent="0.25">
      <c r="A6">
        <v>5</v>
      </c>
      <c r="B6" t="s">
        <v>14</v>
      </c>
      <c r="C6">
        <v>0</v>
      </c>
      <c r="D6">
        <v>1.083295464515686</v>
      </c>
      <c r="E6">
        <v>1.083295464515686</v>
      </c>
      <c r="F6">
        <v>3.4429256517187992E-2</v>
      </c>
      <c r="G6">
        <v>0.13897744130781589</v>
      </c>
      <c r="H6">
        <v>18.316364467144009</v>
      </c>
      <c r="I6">
        <v>0</v>
      </c>
      <c r="J6">
        <v>0</v>
      </c>
      <c r="K6">
        <v>0</v>
      </c>
      <c r="L6">
        <v>0.50810541808605192</v>
      </c>
      <c r="M6">
        <v>132256076.00667781</v>
      </c>
      <c r="N6">
        <v>124300823.3145467</v>
      </c>
      <c r="O6">
        <v>7706651.0455018952</v>
      </c>
      <c r="P6">
        <v>248601.64662909339</v>
      </c>
      <c r="Q6">
        <v>0</v>
      </c>
      <c r="R6">
        <v>0</v>
      </c>
      <c r="S6">
        <f t="shared" si="0"/>
        <v>6.2030075187969866E-2</v>
      </c>
      <c r="T6">
        <f t="shared" si="1"/>
        <v>6.0150375939849565E-2</v>
      </c>
      <c r="U6">
        <f t="shared" si="2"/>
        <v>0</v>
      </c>
      <c r="V6">
        <f t="shared" si="3"/>
        <v>1.5507518796992466E-2</v>
      </c>
      <c r="W6">
        <f t="shared" si="4"/>
        <v>7955252.6921309885</v>
      </c>
      <c r="X6">
        <f t="shared" si="5"/>
        <v>0.96875</v>
      </c>
      <c r="Y6">
        <f t="shared" si="6"/>
        <v>3.125E-2</v>
      </c>
      <c r="Z6">
        <f t="shared" si="7"/>
        <v>0</v>
      </c>
      <c r="AA6">
        <f t="shared" si="8"/>
        <v>0</v>
      </c>
      <c r="AB6">
        <f t="shared" si="9"/>
        <v>0</v>
      </c>
      <c r="AC6">
        <f t="shared" si="10"/>
        <v>0.2578125</v>
      </c>
    </row>
    <row r="7" spans="1:29" x14ac:dyDescent="0.25">
      <c r="A7">
        <v>6</v>
      </c>
      <c r="B7" t="s">
        <v>14</v>
      </c>
      <c r="C7">
        <v>0</v>
      </c>
      <c r="D7">
        <v>1.883090138435364</v>
      </c>
      <c r="E7">
        <v>1.883090138435364</v>
      </c>
      <c r="F7">
        <v>5.8880244830869261E-2</v>
      </c>
      <c r="G7">
        <v>0.20369743034810731</v>
      </c>
      <c r="H7">
        <v>78.016324400901766</v>
      </c>
      <c r="I7">
        <v>0</v>
      </c>
      <c r="J7">
        <v>0</v>
      </c>
      <c r="K7">
        <v>0</v>
      </c>
      <c r="L7">
        <v>0.55910983085632315</v>
      </c>
      <c r="M7">
        <v>329397181.78354907</v>
      </c>
      <c r="N7">
        <v>300559390.77457392</v>
      </c>
      <c r="O7">
        <v>26848977.83594209</v>
      </c>
      <c r="P7">
        <v>1988813.1730327471</v>
      </c>
      <c r="Q7">
        <v>0</v>
      </c>
      <c r="R7">
        <v>0</v>
      </c>
      <c r="S7">
        <f t="shared" si="0"/>
        <v>9.3584905660377277E-2</v>
      </c>
      <c r="T7">
        <f t="shared" si="1"/>
        <v>8.7547169811320671E-2</v>
      </c>
      <c r="U7">
        <f t="shared" si="2"/>
        <v>0</v>
      </c>
      <c r="V7">
        <f t="shared" si="3"/>
        <v>2.3396226415094319E-2</v>
      </c>
      <c r="W7">
        <f t="shared" si="4"/>
        <v>28837791.008974835</v>
      </c>
      <c r="X7">
        <f t="shared" si="5"/>
        <v>0.93103448275862077</v>
      </c>
      <c r="Y7">
        <f t="shared" si="6"/>
        <v>6.8965517241379309E-2</v>
      </c>
      <c r="Z7">
        <f t="shared" si="7"/>
        <v>0</v>
      </c>
      <c r="AA7">
        <f t="shared" si="8"/>
        <v>0</v>
      </c>
      <c r="AB7">
        <f t="shared" si="9"/>
        <v>0</v>
      </c>
      <c r="AC7">
        <f t="shared" si="10"/>
        <v>0.26724137931034486</v>
      </c>
    </row>
    <row r="8" spans="1:29" x14ac:dyDescent="0.25">
      <c r="A8">
        <v>7</v>
      </c>
      <c r="B8" t="s">
        <v>14</v>
      </c>
      <c r="C8">
        <v>0</v>
      </c>
      <c r="D8">
        <v>0.77033525705337524</v>
      </c>
      <c r="E8">
        <v>0.77033525705337524</v>
      </c>
      <c r="F8">
        <v>7.3328957429875358E-2</v>
      </c>
      <c r="G8">
        <v>0.19313582207830329</v>
      </c>
      <c r="H8">
        <v>39.670965969562573</v>
      </c>
      <c r="I8">
        <v>0</v>
      </c>
      <c r="J8">
        <v>0</v>
      </c>
      <c r="K8">
        <v>0.52546125650405884</v>
      </c>
      <c r="L8">
        <v>0.56449109315872192</v>
      </c>
      <c r="M8">
        <v>134493490.82633969</v>
      </c>
      <c r="N8">
        <v>117339977.2089321</v>
      </c>
      <c r="O8">
        <v>17153513.617407441</v>
      </c>
      <c r="P8">
        <v>0</v>
      </c>
      <c r="Q8">
        <v>0</v>
      </c>
      <c r="R8">
        <v>0</v>
      </c>
      <c r="S8">
        <f t="shared" si="0"/>
        <v>0.12754158964879833</v>
      </c>
      <c r="T8">
        <f t="shared" si="1"/>
        <v>0.12754158964879833</v>
      </c>
      <c r="U8">
        <f t="shared" si="2"/>
        <v>0</v>
      </c>
      <c r="V8">
        <f t="shared" si="3"/>
        <v>3.1885397412199583E-2</v>
      </c>
      <c r="W8">
        <f t="shared" si="4"/>
        <v>17153513.617407441</v>
      </c>
      <c r="X8">
        <f t="shared" si="5"/>
        <v>1</v>
      </c>
      <c r="Y8">
        <f t="shared" si="6"/>
        <v>0</v>
      </c>
      <c r="Z8">
        <f t="shared" si="7"/>
        <v>0</v>
      </c>
      <c r="AA8">
        <f t="shared" si="8"/>
        <v>0</v>
      </c>
      <c r="AB8">
        <f t="shared" si="9"/>
        <v>0</v>
      </c>
      <c r="AC8">
        <f t="shared" si="10"/>
        <v>0.25</v>
      </c>
    </row>
    <row r="9" spans="1:29" x14ac:dyDescent="0.25">
      <c r="A9">
        <v>8</v>
      </c>
      <c r="B9" t="s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14916098.797745621</v>
      </c>
      <c r="N9">
        <v>14916098.7977456</v>
      </c>
      <c r="O9">
        <v>0</v>
      </c>
      <c r="P9">
        <v>0</v>
      </c>
      <c r="Q9">
        <v>0</v>
      </c>
      <c r="R9">
        <v>0</v>
      </c>
      <c r="S9">
        <f t="shared" si="0"/>
        <v>0</v>
      </c>
      <c r="T9">
        <f t="shared" si="1"/>
        <v>0</v>
      </c>
      <c r="U9">
        <f t="shared" si="2"/>
        <v>0</v>
      </c>
      <c r="V9">
        <f t="shared" si="3"/>
        <v>0</v>
      </c>
      <c r="W9">
        <f t="shared" si="4"/>
        <v>0</v>
      </c>
      <c r="X9">
        <v>0</v>
      </c>
      <c r="Y9">
        <f t="shared" si="6"/>
        <v>0</v>
      </c>
      <c r="Z9">
        <f t="shared" si="7"/>
        <v>0</v>
      </c>
      <c r="AA9">
        <f t="shared" si="8"/>
        <v>0</v>
      </c>
      <c r="AB9">
        <f t="shared" si="9"/>
        <v>0</v>
      </c>
      <c r="AC9">
        <f t="shared" si="10"/>
        <v>0</v>
      </c>
    </row>
    <row r="10" spans="1:29" x14ac:dyDescent="0.25">
      <c r="A10">
        <v>9</v>
      </c>
      <c r="B10" t="s">
        <v>15</v>
      </c>
      <c r="C10">
        <v>0</v>
      </c>
      <c r="D10">
        <v>0.92317402362823486</v>
      </c>
      <c r="E10">
        <v>0.92317402362823486</v>
      </c>
      <c r="F10">
        <v>2.0049664619806659E-2</v>
      </c>
      <c r="G10">
        <v>0.11371533116111571</v>
      </c>
      <c r="H10">
        <v>4.4510255455970782</v>
      </c>
      <c r="I10">
        <v>0</v>
      </c>
      <c r="J10">
        <v>0</v>
      </c>
      <c r="K10">
        <v>0</v>
      </c>
      <c r="L10">
        <v>0</v>
      </c>
      <c r="M10">
        <v>55189565.551658787</v>
      </c>
      <c r="N10">
        <v>53449354.025255077</v>
      </c>
      <c r="O10">
        <v>1740211.5264036539</v>
      </c>
      <c r="P10">
        <v>0</v>
      </c>
      <c r="Q10">
        <v>0</v>
      </c>
      <c r="R10">
        <v>0</v>
      </c>
      <c r="S10">
        <f t="shared" si="0"/>
        <v>3.1531531531531501E-2</v>
      </c>
      <c r="T10">
        <f t="shared" si="1"/>
        <v>3.1531531531531501E-2</v>
      </c>
      <c r="U10">
        <f t="shared" si="2"/>
        <v>0</v>
      </c>
      <c r="V10">
        <f t="shared" si="3"/>
        <v>7.8828828828828752E-3</v>
      </c>
      <c r="W10">
        <f t="shared" si="4"/>
        <v>1740211.5264036539</v>
      </c>
      <c r="X10">
        <f t="shared" si="5"/>
        <v>1</v>
      </c>
      <c r="Y10">
        <f t="shared" si="6"/>
        <v>0</v>
      </c>
      <c r="Z10">
        <f t="shared" si="7"/>
        <v>0</v>
      </c>
      <c r="AA10">
        <f t="shared" si="8"/>
        <v>0</v>
      </c>
      <c r="AB10">
        <f t="shared" si="9"/>
        <v>0</v>
      </c>
      <c r="AC10">
        <f t="shared" si="10"/>
        <v>0.25</v>
      </c>
    </row>
    <row r="11" spans="1:29" x14ac:dyDescent="0.25">
      <c r="A11">
        <v>10</v>
      </c>
      <c r="B11" t="s">
        <v>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30826604.182007611</v>
      </c>
      <c r="N11">
        <v>30826604.182007581</v>
      </c>
      <c r="O11">
        <v>0</v>
      </c>
      <c r="P11">
        <v>0</v>
      </c>
      <c r="Q11">
        <v>0</v>
      </c>
      <c r="R11">
        <v>0</v>
      </c>
      <c r="S11">
        <f t="shared" si="0"/>
        <v>0</v>
      </c>
      <c r="T11">
        <f t="shared" si="1"/>
        <v>0</v>
      </c>
      <c r="U11">
        <f t="shared" si="2"/>
        <v>0</v>
      </c>
      <c r="V11">
        <f t="shared" si="3"/>
        <v>0</v>
      </c>
      <c r="W11">
        <f t="shared" si="4"/>
        <v>0</v>
      </c>
      <c r="X11">
        <v>0</v>
      </c>
      <c r="Y11">
        <f t="shared" si="6"/>
        <v>0</v>
      </c>
      <c r="Z11">
        <f t="shared" si="7"/>
        <v>0</v>
      </c>
      <c r="AA11">
        <f t="shared" si="8"/>
        <v>0</v>
      </c>
      <c r="AB11">
        <f t="shared" si="9"/>
        <v>0</v>
      </c>
      <c r="AC11">
        <f t="shared" si="10"/>
        <v>0</v>
      </c>
    </row>
    <row r="12" spans="1:29" x14ac:dyDescent="0.25">
      <c r="A12">
        <v>11</v>
      </c>
      <c r="B12" t="s">
        <v>15</v>
      </c>
      <c r="C12">
        <v>0</v>
      </c>
      <c r="D12">
        <v>0.61212915182113647</v>
      </c>
      <c r="E12">
        <v>0.61212915182113647</v>
      </c>
      <c r="F12">
        <v>7.5503291647418631E-3</v>
      </c>
      <c r="G12">
        <v>6.572403660303365E-2</v>
      </c>
      <c r="H12">
        <v>1.1552003622055049</v>
      </c>
      <c r="I12">
        <v>0</v>
      </c>
      <c r="J12">
        <v>0</v>
      </c>
      <c r="K12">
        <v>0</v>
      </c>
      <c r="L12">
        <v>0</v>
      </c>
      <c r="M12">
        <v>38036051.934251323</v>
      </c>
      <c r="N12">
        <v>37538848.640993103</v>
      </c>
      <c r="O12">
        <v>497203.29325818678</v>
      </c>
      <c r="P12">
        <v>0</v>
      </c>
      <c r="Q12">
        <v>0</v>
      </c>
      <c r="R12">
        <v>0</v>
      </c>
      <c r="S12">
        <f t="shared" si="0"/>
        <v>1.307189542483659E-2</v>
      </c>
      <c r="T12">
        <f t="shared" si="1"/>
        <v>1.307189542483659E-2</v>
      </c>
      <c r="U12">
        <f t="shared" si="2"/>
        <v>0</v>
      </c>
      <c r="V12">
        <f t="shared" si="3"/>
        <v>3.2679738562091474E-3</v>
      </c>
      <c r="W12">
        <f t="shared" si="4"/>
        <v>497203.29325818678</v>
      </c>
      <c r="X12">
        <f t="shared" si="5"/>
        <v>1</v>
      </c>
      <c r="Y12">
        <f t="shared" si="6"/>
        <v>0</v>
      </c>
      <c r="Z12">
        <f t="shared" si="7"/>
        <v>0</v>
      </c>
      <c r="AA12">
        <f t="shared" si="8"/>
        <v>0</v>
      </c>
      <c r="AB12">
        <f t="shared" si="9"/>
        <v>0</v>
      </c>
      <c r="AC12">
        <f t="shared" si="10"/>
        <v>0.25</v>
      </c>
    </row>
    <row r="13" spans="1:29" x14ac:dyDescent="0.25">
      <c r="A13">
        <v>12</v>
      </c>
      <c r="B13" t="s">
        <v>15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33064019.001669452</v>
      </c>
      <c r="N13">
        <v>33064019.001669422</v>
      </c>
      <c r="O13">
        <v>0</v>
      </c>
      <c r="P13">
        <v>0</v>
      </c>
      <c r="Q13">
        <v>0</v>
      </c>
      <c r="R13">
        <v>0</v>
      </c>
      <c r="S13">
        <f t="shared" si="0"/>
        <v>0</v>
      </c>
      <c r="T13">
        <f t="shared" si="1"/>
        <v>0</v>
      </c>
      <c r="U13">
        <f t="shared" si="2"/>
        <v>0</v>
      </c>
      <c r="V13">
        <f t="shared" si="3"/>
        <v>0</v>
      </c>
      <c r="W13">
        <f t="shared" si="4"/>
        <v>0</v>
      </c>
      <c r="X13">
        <v>0</v>
      </c>
      <c r="Y13">
        <f t="shared" si="6"/>
        <v>0</v>
      </c>
      <c r="Z13">
        <f t="shared" si="7"/>
        <v>0</v>
      </c>
      <c r="AA13">
        <f t="shared" si="8"/>
        <v>0</v>
      </c>
      <c r="AB13">
        <f t="shared" si="9"/>
        <v>0</v>
      </c>
      <c r="AC13">
        <f t="shared" si="10"/>
        <v>0</v>
      </c>
    </row>
    <row r="14" spans="1:29" x14ac:dyDescent="0.25">
      <c r="A14">
        <v>13</v>
      </c>
      <c r="B14" t="s">
        <v>15</v>
      </c>
      <c r="C14">
        <v>0</v>
      </c>
      <c r="D14">
        <v>6.2251887321472168</v>
      </c>
      <c r="E14">
        <v>6.2251887321472168</v>
      </c>
      <c r="F14">
        <v>0.13138871815935441</v>
      </c>
      <c r="G14">
        <v>0.61149926213027817</v>
      </c>
      <c r="H14">
        <v>78.439064741134544</v>
      </c>
      <c r="I14">
        <v>0</v>
      </c>
      <c r="J14">
        <v>0</v>
      </c>
      <c r="K14">
        <v>0</v>
      </c>
      <c r="L14">
        <v>0.73207699060440035</v>
      </c>
      <c r="M14">
        <v>148415183.0375689</v>
      </c>
      <c r="N14">
        <v>134990694.1195977</v>
      </c>
      <c r="O14">
        <v>8452455.9853891749</v>
      </c>
      <c r="P14">
        <v>3729024.699436401</v>
      </c>
      <c r="Q14">
        <v>1243008.233145467</v>
      </c>
      <c r="R14">
        <v>0</v>
      </c>
      <c r="S14">
        <f t="shared" si="0"/>
        <v>0.13232830820770505</v>
      </c>
      <c r="T14">
        <f t="shared" si="1"/>
        <v>9.0452261306532583E-2</v>
      </c>
      <c r="U14">
        <f t="shared" si="2"/>
        <v>8.3752093802344982E-3</v>
      </c>
      <c r="V14">
        <f t="shared" si="3"/>
        <v>3.3082077051926263E-2</v>
      </c>
      <c r="W14">
        <f t="shared" si="4"/>
        <v>13424488.917971045</v>
      </c>
      <c r="X14">
        <f t="shared" si="5"/>
        <v>0.62962962962962954</v>
      </c>
      <c r="Y14">
        <f t="shared" si="6"/>
        <v>0.27777777777777773</v>
      </c>
      <c r="Z14">
        <f t="shared" si="7"/>
        <v>9.2592592592592587E-2</v>
      </c>
      <c r="AA14">
        <f t="shared" si="8"/>
        <v>0</v>
      </c>
      <c r="AB14">
        <f t="shared" si="9"/>
        <v>9.2592592592592587E-2</v>
      </c>
      <c r="AC14">
        <f t="shared" si="10"/>
        <v>0.3657407407407407</v>
      </c>
    </row>
    <row r="15" spans="1:29" x14ac:dyDescent="0.25">
      <c r="A15">
        <v>14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11435675.74493831</v>
      </c>
      <c r="N15">
        <v>11435675.744938301</v>
      </c>
      <c r="O15">
        <v>0</v>
      </c>
      <c r="P15">
        <v>0</v>
      </c>
      <c r="Q15">
        <v>0</v>
      </c>
      <c r="R15">
        <v>0</v>
      </c>
      <c r="S15">
        <f t="shared" si="0"/>
        <v>0</v>
      </c>
      <c r="T15">
        <f t="shared" si="1"/>
        <v>0</v>
      </c>
      <c r="U15">
        <f t="shared" si="2"/>
        <v>0</v>
      </c>
      <c r="V15">
        <f t="shared" si="3"/>
        <v>0</v>
      </c>
      <c r="W15">
        <f t="shared" si="4"/>
        <v>0</v>
      </c>
      <c r="X15">
        <v>0</v>
      </c>
      <c r="Y15">
        <f t="shared" si="6"/>
        <v>0</v>
      </c>
      <c r="Z15">
        <f t="shared" si="7"/>
        <v>0</v>
      </c>
      <c r="AA15">
        <f t="shared" si="8"/>
        <v>0</v>
      </c>
      <c r="AB15">
        <f t="shared" si="9"/>
        <v>0</v>
      </c>
      <c r="AC15">
        <f t="shared" si="10"/>
        <v>0</v>
      </c>
    </row>
    <row r="16" spans="1:29" x14ac:dyDescent="0.25">
      <c r="A16">
        <v>15</v>
      </c>
      <c r="B16" t="s">
        <v>15</v>
      </c>
      <c r="C16">
        <v>0</v>
      </c>
      <c r="D16">
        <v>1.1199551820755</v>
      </c>
      <c r="E16">
        <v>1.1199551820755</v>
      </c>
      <c r="F16">
        <v>6.3719519270144841E-3</v>
      </c>
      <c r="G16">
        <v>6.8109323670815305E-2</v>
      </c>
      <c r="H16">
        <v>4.7025005221366891</v>
      </c>
      <c r="I16">
        <v>0</v>
      </c>
      <c r="J16">
        <v>0</v>
      </c>
      <c r="K16">
        <v>0</v>
      </c>
      <c r="L16">
        <v>0</v>
      </c>
      <c r="M16">
        <v>183468015.21227109</v>
      </c>
      <c r="N16">
        <v>181727803.68586731</v>
      </c>
      <c r="O16">
        <v>1491609.87977456</v>
      </c>
      <c r="P16">
        <v>248601.64662909339</v>
      </c>
      <c r="Q16">
        <v>0</v>
      </c>
      <c r="R16">
        <v>0</v>
      </c>
      <c r="S16">
        <f t="shared" si="0"/>
        <v>1.0840108401083999E-2</v>
      </c>
      <c r="T16">
        <f t="shared" si="1"/>
        <v>9.4850948509484986E-3</v>
      </c>
      <c r="U16">
        <f t="shared" si="2"/>
        <v>0</v>
      </c>
      <c r="V16">
        <f t="shared" si="3"/>
        <v>2.7100271002709997E-3</v>
      </c>
      <c r="W16">
        <f t="shared" si="4"/>
        <v>1740211.5264036534</v>
      </c>
      <c r="X16">
        <f t="shared" si="5"/>
        <v>0.8571428571428571</v>
      </c>
      <c r="Y16">
        <f t="shared" si="6"/>
        <v>0.14285714285714288</v>
      </c>
      <c r="Z16">
        <f t="shared" si="7"/>
        <v>0</v>
      </c>
      <c r="AA16">
        <f t="shared" si="8"/>
        <v>0</v>
      </c>
      <c r="AB16">
        <f t="shared" si="9"/>
        <v>0</v>
      </c>
      <c r="AC16">
        <f t="shared" si="10"/>
        <v>0.2857142857142857</v>
      </c>
    </row>
    <row r="17" spans="1:29" x14ac:dyDescent="0.25">
      <c r="A17">
        <v>16</v>
      </c>
      <c r="B17" t="s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497203.29325818719</v>
      </c>
      <c r="N17">
        <v>497203.29325818678</v>
      </c>
      <c r="O17">
        <v>0</v>
      </c>
      <c r="P17">
        <v>0</v>
      </c>
      <c r="Q17">
        <v>0</v>
      </c>
      <c r="R17">
        <v>0</v>
      </c>
      <c r="S17">
        <f t="shared" si="0"/>
        <v>0</v>
      </c>
      <c r="T17">
        <f t="shared" si="1"/>
        <v>0</v>
      </c>
      <c r="U17">
        <f t="shared" si="2"/>
        <v>0</v>
      </c>
      <c r="V17">
        <f t="shared" si="3"/>
        <v>0</v>
      </c>
      <c r="W17">
        <f t="shared" si="4"/>
        <v>0</v>
      </c>
      <c r="X17">
        <v>0</v>
      </c>
      <c r="Y17">
        <f t="shared" si="6"/>
        <v>0</v>
      </c>
      <c r="Z17">
        <f t="shared" si="7"/>
        <v>0</v>
      </c>
      <c r="AA17">
        <f t="shared" si="8"/>
        <v>0</v>
      </c>
      <c r="AB17">
        <f t="shared" si="9"/>
        <v>0</v>
      </c>
      <c r="AC17">
        <f t="shared" si="10"/>
        <v>0</v>
      </c>
    </row>
    <row r="18" spans="1:29" x14ac:dyDescent="0.25">
      <c r="A18">
        <v>17</v>
      </c>
      <c r="B18" t="s">
        <v>15</v>
      </c>
      <c r="C18">
        <v>0</v>
      </c>
      <c r="D18">
        <v>0.89417195320129395</v>
      </c>
      <c r="E18">
        <v>0.89417195320129395</v>
      </c>
      <c r="F18">
        <v>8.8905058372979906E-2</v>
      </c>
      <c r="G18">
        <v>0.2167964579262876</v>
      </c>
      <c r="H18">
        <v>7.7347400784492519</v>
      </c>
      <c r="I18">
        <v>0</v>
      </c>
      <c r="J18">
        <v>0</v>
      </c>
      <c r="K18">
        <v>0.52035770416259775</v>
      </c>
      <c r="L18">
        <v>0.58436327576637292</v>
      </c>
      <c r="M18">
        <v>21628343.256731149</v>
      </c>
      <c r="N18">
        <v>18396521.850552909</v>
      </c>
      <c r="O18">
        <v>3231821.4061782141</v>
      </c>
      <c r="P18">
        <v>0</v>
      </c>
      <c r="Q18">
        <v>0</v>
      </c>
      <c r="R18">
        <v>0</v>
      </c>
      <c r="S18">
        <f t="shared" si="0"/>
        <v>0.14942528735632168</v>
      </c>
      <c r="T18">
        <f t="shared" si="1"/>
        <v>0.14942528735632168</v>
      </c>
      <c r="U18">
        <f t="shared" si="2"/>
        <v>0</v>
      </c>
      <c r="V18">
        <f t="shared" si="3"/>
        <v>3.7356321839080421E-2</v>
      </c>
      <c r="W18">
        <f t="shared" si="4"/>
        <v>3231821.4061782141</v>
      </c>
      <c r="X18">
        <f t="shared" si="5"/>
        <v>1</v>
      </c>
      <c r="Y18">
        <f t="shared" si="6"/>
        <v>0</v>
      </c>
      <c r="Z18">
        <f t="shared" si="7"/>
        <v>0</v>
      </c>
      <c r="AA18">
        <f t="shared" si="8"/>
        <v>0</v>
      </c>
      <c r="AB18">
        <f t="shared" si="9"/>
        <v>0</v>
      </c>
      <c r="AC18">
        <f t="shared" si="10"/>
        <v>0.25</v>
      </c>
    </row>
    <row r="19" spans="1:29" x14ac:dyDescent="0.25">
      <c r="A19">
        <v>18</v>
      </c>
      <c r="B19" t="s">
        <v>16</v>
      </c>
      <c r="C19">
        <v>0</v>
      </c>
      <c r="D19">
        <v>6.0819540023803711</v>
      </c>
      <c r="E19">
        <v>6.0819540023803711</v>
      </c>
      <c r="F19">
        <v>0.71174697343968174</v>
      </c>
      <c r="G19">
        <v>1.0305107150227391</v>
      </c>
      <c r="H19">
        <v>86.121383786201491</v>
      </c>
      <c r="I19">
        <v>0.53883916139602661</v>
      </c>
      <c r="J19">
        <v>0.87910836935043335</v>
      </c>
      <c r="K19">
        <v>2.1034624576568599</v>
      </c>
      <c r="L19">
        <v>2.8612616062164311</v>
      </c>
      <c r="M19">
        <v>30080799.242120329</v>
      </c>
      <c r="N19">
        <v>12181480.684825581</v>
      </c>
      <c r="O19">
        <v>11932879.03819648</v>
      </c>
      <c r="P19">
        <v>5717837.8724691477</v>
      </c>
      <c r="Q19">
        <v>248601.64662909339</v>
      </c>
      <c r="R19">
        <v>0</v>
      </c>
      <c r="S19">
        <f t="shared" si="0"/>
        <v>0.80165289256198258</v>
      </c>
      <c r="T19">
        <f t="shared" si="1"/>
        <v>0.59504132231404894</v>
      </c>
      <c r="U19">
        <f t="shared" si="2"/>
        <v>8.2644628099173469E-3</v>
      </c>
      <c r="V19">
        <f t="shared" si="3"/>
        <v>0.20041322314049564</v>
      </c>
      <c r="W19">
        <f t="shared" si="4"/>
        <v>17899318.557294723</v>
      </c>
      <c r="X19">
        <f t="shared" si="5"/>
        <v>0.66666666666666652</v>
      </c>
      <c r="Y19">
        <f t="shared" si="6"/>
        <v>0.31944444444444448</v>
      </c>
      <c r="Z19">
        <f t="shared" si="7"/>
        <v>1.388888888888889E-2</v>
      </c>
      <c r="AA19">
        <f t="shared" si="8"/>
        <v>0</v>
      </c>
      <c r="AB19">
        <f t="shared" si="9"/>
        <v>1.388888888888889E-2</v>
      </c>
      <c r="AC19">
        <f t="shared" si="10"/>
        <v>0.33680555555555552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origin_gps_poi_PairwiseDisso2_E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良鑫 毕</cp:lastModifiedBy>
  <dcterms:created xsi:type="dcterms:W3CDTF">2026-03-17T08:01:44Z</dcterms:created>
  <dcterms:modified xsi:type="dcterms:W3CDTF">2026-03-17T09:17:22Z</dcterms:modified>
</cp:coreProperties>
</file>